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ll_Tuna\최장호\페르소나 설문 코드\제품기준 페르소나 생성 후 구매여부(2025_08_26)\product_info\"/>
    </mc:Choice>
  </mc:AlternateContent>
  <xr:revisionPtr revIDLastSave="0" documentId="13_ncr:1_{7115217E-E855-4478-BA26-667E9EC05052}" xr6:coauthVersionLast="47" xr6:coauthVersionMax="47" xr10:uidLastSave="{00000000-0000-0000-0000-000000000000}"/>
  <bookViews>
    <workbookView xWindow="-2355" yWindow="2580" windowWidth="21600" windowHeight="11385" xr2:uid="{334BCBA3-0A2A-4A78-B307-73755E4A2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E61" i="1"/>
  <c r="E60" i="1"/>
  <c r="E56" i="1"/>
  <c r="E55" i="1"/>
  <c r="E54" i="1"/>
  <c r="E50" i="1"/>
  <c r="E49" i="1"/>
  <c r="E48" i="1"/>
  <c r="E44" i="1"/>
  <c r="E43" i="1"/>
  <c r="E42" i="1"/>
  <c r="E41" i="1"/>
  <c r="E40" i="1"/>
  <c r="E39" i="1"/>
  <c r="E35" i="1"/>
  <c r="E34" i="1"/>
  <c r="E33" i="1"/>
  <c r="E32" i="1"/>
  <c r="E31" i="1"/>
  <c r="E30" i="1"/>
  <c r="E26" i="1"/>
  <c r="E25" i="1"/>
  <c r="E24" i="1"/>
  <c r="E23" i="1"/>
  <c r="E22" i="1"/>
  <c r="E21" i="1"/>
  <c r="E17" i="1"/>
  <c r="E16" i="1"/>
  <c r="E15" i="1"/>
  <c r="E14" i="1"/>
  <c r="E13" i="1"/>
  <c r="E12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<sst xmlns="http://schemas.openxmlformats.org/spreadsheetml/2006/main" count="154" uniqueCount="66">
  <si>
    <t>브랜드</t>
  </si>
  <si>
    <t>제품 라인</t>
  </si>
  <si>
    <t>소매가 (원)</t>
  </si>
  <si>
    <t>용량 (g)</t>
  </si>
  <si>
    <t>동원 F&amp;B</t>
  </si>
  <si>
    <t>맛참 고소참기름</t>
  </si>
  <si>
    <t>맛참 매콤참기름</t>
  </si>
  <si>
    <t>고추참치</t>
  </si>
  <si>
    <t>살코기 라이트 스탠다드</t>
  </si>
  <si>
    <t>사조해표</t>
  </si>
  <si>
    <t>살코기 참치</t>
  </si>
  <si>
    <t>오뚜기</t>
  </si>
  <si>
    <t>마일드 참치</t>
  </si>
  <si>
    <t>제품명</t>
  </si>
  <si>
    <t>100g당 가격 (원)</t>
  </si>
  <si>
    <t>덴마크 하이그릭요거트</t>
  </si>
  <si>
    <t>풀무원다논</t>
  </si>
  <si>
    <t>그릭 달지않은 플레인</t>
  </si>
  <si>
    <t>매일유업</t>
  </si>
  <si>
    <t>바이오 그릭요거트</t>
  </si>
  <si>
    <t>남양유업</t>
  </si>
  <si>
    <t>소화가 잘되는 우유로 만든 그릭요거트</t>
  </si>
  <si>
    <t>일동후디스</t>
  </si>
  <si>
    <t>그릭요거트 플레인</t>
  </si>
  <si>
    <t>빙그레</t>
  </si>
  <si>
    <t>요플레 그릭 마일드</t>
  </si>
  <si>
    <t>등급</t>
  </si>
  <si>
    <t>용량 (g/ml)</t>
  </si>
  <si>
    <t>메인스트림</t>
  </si>
  <si>
    <t>참치액 진/순</t>
  </si>
  <si>
    <t>CJ제일제당</t>
  </si>
  <si>
    <t>백설 참치액 진</t>
  </si>
  <si>
    <t>사조 참치액</t>
  </si>
  <si>
    <t>대상</t>
  </si>
  <si>
    <t>청정원 맛선생 참치액</t>
  </si>
  <si>
    <t>한라식품</t>
  </si>
  <si>
    <t>한라 참치액</t>
  </si>
  <si>
    <t>프리미엄</t>
  </si>
  <si>
    <t>프리미엄 참치액</t>
  </si>
  <si>
    <t>한라 프리미엄 참치액</t>
  </si>
  <si>
    <t>프리미엄 (추격)</t>
  </si>
  <si>
    <t>프리미엄 (선도)</t>
  </si>
  <si>
    <t>롯데웰푸드</t>
  </si>
  <si>
    <t>가성비</t>
  </si>
  <si>
    <t>핵심 특징</t>
  </si>
  <si>
    <t>용량 (ml)</t>
  </si>
  <si>
    <t>100ml당 가격 (원)</t>
  </si>
  <si>
    <t>락토프리</t>
  </si>
  <si>
    <t>소화가 잘되는 우유로 만든 라떼</t>
  </si>
  <si>
    <t>롯데칠성음료</t>
  </si>
  <si>
    <t>스탠다드</t>
  </si>
  <si>
    <t>칸타타 프리미엄 라떼</t>
  </si>
  <si>
    <t>동서식품</t>
  </si>
  <si>
    <t>맥심 T.O.P 마스터 라떼</t>
  </si>
  <si>
    <t>바리스타룰스 에스프레소라떼</t>
  </si>
  <si>
    <t>[참치캔]</t>
    <phoneticPr fontId="1" type="noConversion"/>
  </si>
  <si>
    <t>[그릭요거트]</t>
    <phoneticPr fontId="1" type="noConversion"/>
  </si>
  <si>
    <t>[참치액]</t>
    <phoneticPr fontId="1" type="noConversion"/>
  </si>
  <si>
    <t>[캔햄]</t>
    <phoneticPr fontId="1" type="noConversion"/>
  </si>
  <si>
    <t>[RTD_액상커피]</t>
    <phoneticPr fontId="1" type="noConversion"/>
  </si>
  <si>
    <t>기준 = 이마트몰</t>
    <phoneticPr fontId="1" type="noConversion"/>
  </si>
  <si>
    <t>리챔 오리지널(6개묶음평균)</t>
    <phoneticPr fontId="1" type="noConversion"/>
  </si>
  <si>
    <t>스팸 클래식(6개묶음평균)</t>
    <phoneticPr fontId="1" type="noConversion"/>
  </si>
  <si>
    <t>로스팜</t>
    <phoneticPr fontId="1" type="noConversion"/>
  </si>
  <si>
    <t>로스팜(5개묶음평균)</t>
    <phoneticPr fontId="1" type="noConversion"/>
  </si>
  <si>
    <t>100g당 가격 (원)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</si>
</sst>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E38B-E6A4-4B96-8194-38C46AD227E8}">
  <dimension ref="A1:F63"/>
  <sheetViews>
    <sheetView tabSelected="1" topLeftCell="A28" workbookViewId="0">
      <selection activeCell="H34" sqref="H34:H35"/>
    </sheetView>
  </sheetViews>
  <sheetFormatPr defaultRowHeight="16.5" x14ac:dyDescent="0.3"/>
  <cols>
    <col min="1" max="1" width="13" bestFit="1" customWidth="1"/>
    <col min="2" max="2" width="34.25" customWidth="1"/>
    <col min="3" max="3" width="30.25" customWidth="1"/>
    <col min="4" max="4" width="11" bestFit="1" customWidth="1"/>
    <col min="5" max="5" width="16.25" bestFit="1" customWidth="1"/>
    <col min="6" max="6" width="17.375" bestFit="1" customWidth="1"/>
  </cols>
  <sheetData>
    <row r="1" spans="1:6" x14ac:dyDescent="0.3">
      <c r="B1" s="9" t="s">
        <v>60</v>
      </c>
    </row>
    <row r="2" spans="1:6" x14ac:dyDescent="0.3">
      <c r="A2" t="s">
        <v>55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65</v>
      </c>
      <c r="F3" s="1"/>
    </row>
    <row r="4" spans="1:6" x14ac:dyDescent="0.3">
      <c r="A4" s="3" t="s">
        <v>4</v>
      </c>
      <c r="B4" s="1" t="s">
        <v>5</v>
      </c>
      <c r="C4" s="1">
        <v>2370</v>
      </c>
      <c r="D4" s="1">
        <v>90</v>
      </c>
      <c r="E4" s="4">
        <f>C4/D4*100</f>
        <v>2633.333333333333</v>
      </c>
      <c r="F4" s="1"/>
    </row>
    <row r="5" spans="1:6" x14ac:dyDescent="0.3">
      <c r="A5" s="3" t="s">
        <v>4</v>
      </c>
      <c r="B5" s="1" t="s">
        <v>6</v>
      </c>
      <c r="C5" s="1">
        <v>2370</v>
      </c>
      <c r="D5" s="1">
        <v>90</v>
      </c>
      <c r="E5" s="4">
        <f t="shared" ref="E5:E8" si="0">C5/D5*100</f>
        <v>2633.333333333333</v>
      </c>
      <c r="F5" s="1"/>
    </row>
    <row r="6" spans="1:6" x14ac:dyDescent="0.3">
      <c r="A6" s="3" t="s">
        <v>4</v>
      </c>
      <c r="B6" s="1" t="s">
        <v>7</v>
      </c>
      <c r="C6" s="1">
        <v>2370</v>
      </c>
      <c r="D6" s="1">
        <v>90</v>
      </c>
      <c r="E6" s="4">
        <f t="shared" si="0"/>
        <v>2633.333333333333</v>
      </c>
      <c r="F6" s="1"/>
    </row>
    <row r="7" spans="1:6" x14ac:dyDescent="0.3">
      <c r="A7" s="3" t="s">
        <v>4</v>
      </c>
      <c r="B7" s="1" t="s">
        <v>8</v>
      </c>
      <c r="C7" s="1">
        <v>2380</v>
      </c>
      <c r="D7" s="1">
        <v>90</v>
      </c>
      <c r="E7" s="4">
        <f t="shared" si="0"/>
        <v>2644.4444444444443</v>
      </c>
      <c r="F7" s="1"/>
    </row>
    <row r="8" spans="1:6" x14ac:dyDescent="0.3">
      <c r="A8" s="3" t="s">
        <v>9</v>
      </c>
      <c r="B8" s="1" t="s">
        <v>10</v>
      </c>
      <c r="C8" s="1">
        <v>2245</v>
      </c>
      <c r="D8" s="1">
        <v>85</v>
      </c>
      <c r="E8" s="4">
        <f t="shared" si="0"/>
        <v>2641.1764705882351</v>
      </c>
      <c r="F8" s="1"/>
    </row>
    <row r="9" spans="1:6" x14ac:dyDescent="0.3">
      <c r="A9" s="10"/>
      <c r="B9" s="10"/>
      <c r="C9" s="10"/>
      <c r="D9" s="10"/>
      <c r="E9" s="10"/>
      <c r="F9" s="1"/>
    </row>
    <row r="10" spans="1:6" x14ac:dyDescent="0.3">
      <c r="A10" t="s">
        <v>55</v>
      </c>
      <c r="B10" s="1"/>
      <c r="C10" s="5"/>
      <c r="D10" s="1"/>
      <c r="E10" s="1"/>
      <c r="F10" s="1"/>
    </row>
    <row r="11" spans="1:6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65</v>
      </c>
    </row>
    <row r="12" spans="1:6" x14ac:dyDescent="0.3">
      <c r="A12" s="3" t="s">
        <v>4</v>
      </c>
      <c r="B12" s="1" t="s">
        <v>5</v>
      </c>
      <c r="C12" s="1">
        <v>2870</v>
      </c>
      <c r="D12" s="1">
        <v>135</v>
      </c>
      <c r="E12" s="4">
        <f t="shared" ref="E12:E17" si="1">C12/D12*100</f>
        <v>2125.9259259259261</v>
      </c>
    </row>
    <row r="13" spans="1:6" x14ac:dyDescent="0.3">
      <c r="A13" s="3" t="s">
        <v>4</v>
      </c>
      <c r="B13" s="1" t="s">
        <v>6</v>
      </c>
      <c r="C13" s="1">
        <v>2870</v>
      </c>
      <c r="D13" s="1">
        <v>135</v>
      </c>
      <c r="E13" s="4">
        <f t="shared" si="1"/>
        <v>2125.9259259259261</v>
      </c>
    </row>
    <row r="14" spans="1:6" x14ac:dyDescent="0.3">
      <c r="A14" s="3" t="s">
        <v>4</v>
      </c>
      <c r="B14" s="1" t="s">
        <v>7</v>
      </c>
      <c r="C14" s="1">
        <v>2870</v>
      </c>
      <c r="D14" s="1">
        <v>135</v>
      </c>
      <c r="E14" s="4">
        <f t="shared" si="1"/>
        <v>2125.9259259259261</v>
      </c>
    </row>
    <row r="15" spans="1:6" x14ac:dyDescent="0.3">
      <c r="A15" s="3" t="s">
        <v>4</v>
      </c>
      <c r="B15" s="1" t="s">
        <v>8</v>
      </c>
      <c r="C15" s="1">
        <v>2880</v>
      </c>
      <c r="D15" s="1">
        <v>135</v>
      </c>
      <c r="E15" s="4">
        <f t="shared" si="1"/>
        <v>2133.333333333333</v>
      </c>
    </row>
    <row r="16" spans="1:6" x14ac:dyDescent="0.3">
      <c r="A16" s="3" t="s">
        <v>9</v>
      </c>
      <c r="B16" s="1" t="s">
        <v>10</v>
      </c>
      <c r="C16" s="1">
        <v>2870</v>
      </c>
      <c r="D16" s="1">
        <v>135</v>
      </c>
      <c r="E16" s="4">
        <f t="shared" si="1"/>
        <v>2125.9259259259261</v>
      </c>
    </row>
    <row r="17" spans="1:6" x14ac:dyDescent="0.3">
      <c r="A17" s="6" t="s">
        <v>11</v>
      </c>
      <c r="B17" s="7" t="s">
        <v>12</v>
      </c>
      <c r="C17" s="7">
        <v>2870</v>
      </c>
      <c r="D17" s="7">
        <v>135</v>
      </c>
      <c r="E17" s="4">
        <f t="shared" si="1"/>
        <v>2125.9259259259261</v>
      </c>
    </row>
    <row r="19" spans="1:6" x14ac:dyDescent="0.3">
      <c r="A19" t="s">
        <v>56</v>
      </c>
      <c r="B19" s="1"/>
      <c r="C19" s="1"/>
      <c r="D19" s="1"/>
      <c r="E19" s="1"/>
      <c r="F19" s="1"/>
    </row>
    <row r="20" spans="1:6" x14ac:dyDescent="0.3">
      <c r="A20" s="2" t="s">
        <v>0</v>
      </c>
      <c r="B20" s="2" t="s">
        <v>13</v>
      </c>
      <c r="C20" s="2" t="s">
        <v>2</v>
      </c>
      <c r="D20" s="2" t="s">
        <v>3</v>
      </c>
      <c r="E20" s="2" t="s">
        <v>14</v>
      </c>
      <c r="F20" s="1"/>
    </row>
    <row r="21" spans="1:6" x14ac:dyDescent="0.3">
      <c r="A21" s="3" t="s">
        <v>4</v>
      </c>
      <c r="B21" s="1" t="s">
        <v>15</v>
      </c>
      <c r="C21" s="1">
        <v>4400</v>
      </c>
      <c r="D21" s="1">
        <v>400</v>
      </c>
      <c r="E21" s="4">
        <f t="shared" ref="E21:E26" si="2">C21/D21*100</f>
        <v>1100</v>
      </c>
      <c r="F21" s="1"/>
    </row>
    <row r="22" spans="1:6" x14ac:dyDescent="0.3">
      <c r="A22" s="3" t="s">
        <v>16</v>
      </c>
      <c r="B22" s="1" t="s">
        <v>17</v>
      </c>
      <c r="C22" s="1">
        <v>3490</v>
      </c>
      <c r="D22" s="1">
        <v>400</v>
      </c>
      <c r="E22" s="4">
        <f t="shared" si="2"/>
        <v>872.5</v>
      </c>
      <c r="F22" s="1"/>
    </row>
    <row r="23" spans="1:6" x14ac:dyDescent="0.3">
      <c r="A23" s="3" t="s">
        <v>18</v>
      </c>
      <c r="B23" s="1" t="s">
        <v>19</v>
      </c>
      <c r="C23" s="1">
        <v>3990</v>
      </c>
      <c r="D23" s="1">
        <v>400</v>
      </c>
      <c r="E23" s="4">
        <f t="shared" si="2"/>
        <v>997.5</v>
      </c>
      <c r="F23" s="1"/>
    </row>
    <row r="24" spans="1:6" x14ac:dyDescent="0.3">
      <c r="A24" s="3" t="s">
        <v>20</v>
      </c>
      <c r="B24" s="1" t="s">
        <v>21</v>
      </c>
      <c r="C24" s="1">
        <v>4490</v>
      </c>
      <c r="D24" s="1">
        <v>400</v>
      </c>
      <c r="E24" s="4">
        <f t="shared" si="2"/>
        <v>1122.5</v>
      </c>
      <c r="F24" s="1"/>
    </row>
    <row r="25" spans="1:6" x14ac:dyDescent="0.3">
      <c r="A25" s="3" t="s">
        <v>22</v>
      </c>
      <c r="B25" s="1" t="s">
        <v>23</v>
      </c>
      <c r="C25" s="1">
        <v>6400</v>
      </c>
      <c r="D25" s="1">
        <v>450</v>
      </c>
      <c r="E25" s="4">
        <f t="shared" si="2"/>
        <v>1422.2222222222222</v>
      </c>
      <c r="F25" s="1"/>
    </row>
    <row r="26" spans="1:6" x14ac:dyDescent="0.3">
      <c r="A26" s="6" t="s">
        <v>24</v>
      </c>
      <c r="B26" s="7" t="s">
        <v>25</v>
      </c>
      <c r="C26" s="7">
        <v>3980</v>
      </c>
      <c r="D26" s="7">
        <v>400</v>
      </c>
      <c r="E26" s="4">
        <f t="shared" si="2"/>
        <v>994.99999999999989</v>
      </c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 t="s">
        <v>57</v>
      </c>
      <c r="B28" s="1"/>
      <c r="C28" s="5"/>
      <c r="D28" s="1"/>
      <c r="E28" s="1"/>
      <c r="F28" s="1"/>
    </row>
    <row r="29" spans="1:6" x14ac:dyDescent="0.3">
      <c r="A29" s="2" t="s">
        <v>0</v>
      </c>
      <c r="B29" s="2" t="s">
        <v>13</v>
      </c>
      <c r="C29" s="2" t="s">
        <v>2</v>
      </c>
      <c r="D29" s="2" t="s">
        <v>27</v>
      </c>
      <c r="E29" s="2" t="s">
        <v>14</v>
      </c>
      <c r="F29" s="2" t="s">
        <v>26</v>
      </c>
    </row>
    <row r="30" spans="1:6" x14ac:dyDescent="0.3">
      <c r="A30" s="3" t="s">
        <v>4</v>
      </c>
      <c r="B30" s="1" t="s">
        <v>29</v>
      </c>
      <c r="C30" s="1">
        <v>7980</v>
      </c>
      <c r="D30" s="1">
        <v>500</v>
      </c>
      <c r="E30" s="4">
        <f t="shared" ref="E30:E35" si="3">C30/D30*100</f>
        <v>1596</v>
      </c>
      <c r="F30" s="4" t="s">
        <v>28</v>
      </c>
    </row>
    <row r="31" spans="1:6" x14ac:dyDescent="0.3">
      <c r="A31" s="3" t="s">
        <v>30</v>
      </c>
      <c r="B31" s="1" t="s">
        <v>31</v>
      </c>
      <c r="C31" s="1">
        <v>7980</v>
      </c>
      <c r="D31" s="1">
        <v>500</v>
      </c>
      <c r="E31" s="4">
        <f t="shared" si="3"/>
        <v>1596</v>
      </c>
      <c r="F31" s="4" t="s">
        <v>28</v>
      </c>
    </row>
    <row r="32" spans="1:6" x14ac:dyDescent="0.3">
      <c r="A32" s="3" t="s">
        <v>9</v>
      </c>
      <c r="B32" s="1" t="s">
        <v>32</v>
      </c>
      <c r="C32" s="1">
        <v>7980</v>
      </c>
      <c r="D32" s="1">
        <v>500</v>
      </c>
      <c r="E32" s="4">
        <f t="shared" si="3"/>
        <v>1596</v>
      </c>
      <c r="F32" s="4" t="s">
        <v>28</v>
      </c>
    </row>
    <row r="33" spans="1:6" x14ac:dyDescent="0.3">
      <c r="A33" s="3" t="s">
        <v>35</v>
      </c>
      <c r="B33" s="1" t="s">
        <v>36</v>
      </c>
      <c r="C33" s="1">
        <v>8480</v>
      </c>
      <c r="D33" s="1">
        <v>500</v>
      </c>
      <c r="E33" s="4">
        <f t="shared" si="3"/>
        <v>1696</v>
      </c>
      <c r="F33" s="4" t="s">
        <v>28</v>
      </c>
    </row>
    <row r="34" spans="1:6" x14ac:dyDescent="0.3">
      <c r="A34" s="3" t="s">
        <v>4</v>
      </c>
      <c r="B34" s="1" t="s">
        <v>38</v>
      </c>
      <c r="C34" s="1">
        <v>14980</v>
      </c>
      <c r="D34" s="1">
        <v>500</v>
      </c>
      <c r="E34" s="4">
        <f t="shared" si="3"/>
        <v>2996</v>
      </c>
      <c r="F34" s="4" t="s">
        <v>37</v>
      </c>
    </row>
    <row r="35" spans="1:6" x14ac:dyDescent="0.3">
      <c r="A35" s="6" t="s">
        <v>35</v>
      </c>
      <c r="B35" s="7" t="s">
        <v>39</v>
      </c>
      <c r="C35" s="7">
        <v>14980</v>
      </c>
      <c r="D35" s="7">
        <v>500</v>
      </c>
      <c r="E35" s="4">
        <f t="shared" si="3"/>
        <v>2996</v>
      </c>
      <c r="F35" s="8" t="s">
        <v>37</v>
      </c>
    </row>
    <row r="37" spans="1:6" x14ac:dyDescent="0.3">
      <c r="A37" s="1" t="s">
        <v>57</v>
      </c>
      <c r="B37" s="1"/>
      <c r="C37" s="1"/>
      <c r="D37" s="1"/>
      <c r="E37" s="1"/>
      <c r="F37" s="1"/>
    </row>
    <row r="38" spans="1:6" x14ac:dyDescent="0.3">
      <c r="A38" s="2" t="s">
        <v>0</v>
      </c>
      <c r="B38" s="2" t="s">
        <v>13</v>
      </c>
      <c r="C38" s="2" t="s">
        <v>2</v>
      </c>
      <c r="D38" s="2" t="s">
        <v>27</v>
      </c>
      <c r="E38" s="2" t="s">
        <v>14</v>
      </c>
      <c r="F38" s="2" t="s">
        <v>26</v>
      </c>
    </row>
    <row r="39" spans="1:6" x14ac:dyDescent="0.3">
      <c r="A39" s="3" t="s">
        <v>4</v>
      </c>
      <c r="B39" s="1" t="s">
        <v>29</v>
      </c>
      <c r="C39" s="1">
        <v>12980</v>
      </c>
      <c r="D39" s="1">
        <v>900</v>
      </c>
      <c r="E39" s="4">
        <f t="shared" ref="E39:E44" si="4">C39/D39*100</f>
        <v>1442.2222222222222</v>
      </c>
      <c r="F39" s="4" t="s">
        <v>28</v>
      </c>
    </row>
    <row r="40" spans="1:6" x14ac:dyDescent="0.3">
      <c r="A40" s="3" t="s">
        <v>30</v>
      </c>
      <c r="B40" s="1" t="s">
        <v>31</v>
      </c>
      <c r="C40" s="1">
        <v>12980</v>
      </c>
      <c r="D40" s="1">
        <v>900</v>
      </c>
      <c r="E40" s="4">
        <f t="shared" si="4"/>
        <v>1442.2222222222222</v>
      </c>
      <c r="F40" s="4" t="s">
        <v>28</v>
      </c>
    </row>
    <row r="41" spans="1:6" x14ac:dyDescent="0.3">
      <c r="A41" s="3" t="s">
        <v>9</v>
      </c>
      <c r="B41" s="1" t="s">
        <v>32</v>
      </c>
      <c r="C41" s="1">
        <v>12980</v>
      </c>
      <c r="D41" s="1">
        <v>900</v>
      </c>
      <c r="E41" s="4">
        <f t="shared" si="4"/>
        <v>1442.2222222222222</v>
      </c>
      <c r="F41" s="4" t="s">
        <v>28</v>
      </c>
    </row>
    <row r="42" spans="1:6" x14ac:dyDescent="0.3">
      <c r="A42" s="3" t="s">
        <v>33</v>
      </c>
      <c r="B42" s="1" t="s">
        <v>34</v>
      </c>
      <c r="C42" s="1">
        <v>12980</v>
      </c>
      <c r="D42" s="1">
        <v>950</v>
      </c>
      <c r="E42" s="4">
        <f t="shared" si="4"/>
        <v>1366.3157894736844</v>
      </c>
      <c r="F42" s="4" t="s">
        <v>28</v>
      </c>
    </row>
    <row r="43" spans="1:6" x14ac:dyDescent="0.3">
      <c r="A43" s="3" t="s">
        <v>35</v>
      </c>
      <c r="B43" s="1" t="s">
        <v>36</v>
      </c>
      <c r="C43" s="1">
        <v>12880</v>
      </c>
      <c r="D43" s="1">
        <v>900</v>
      </c>
      <c r="E43" s="4">
        <f t="shared" si="4"/>
        <v>1431.1111111111111</v>
      </c>
      <c r="F43" s="4" t="s">
        <v>28</v>
      </c>
    </row>
    <row r="44" spans="1:6" x14ac:dyDescent="0.3">
      <c r="A44" s="6" t="s">
        <v>4</v>
      </c>
      <c r="B44" s="7" t="s">
        <v>38</v>
      </c>
      <c r="C44" s="7">
        <v>19980</v>
      </c>
      <c r="D44" s="7">
        <v>900</v>
      </c>
      <c r="E44" s="4">
        <f t="shared" si="4"/>
        <v>2220</v>
      </c>
      <c r="F44" s="8" t="s">
        <v>37</v>
      </c>
    </row>
    <row r="45" spans="1:6" x14ac:dyDescent="0.3">
      <c r="A45" s="1"/>
      <c r="B45" s="1"/>
      <c r="C45" s="5"/>
      <c r="D45" s="1"/>
      <c r="E45" s="5"/>
      <c r="F45" s="1"/>
    </row>
    <row r="46" spans="1:6" x14ac:dyDescent="0.3">
      <c r="A46" s="1" t="s">
        <v>58</v>
      </c>
      <c r="B46" s="1"/>
      <c r="C46" s="1"/>
      <c r="D46" s="1"/>
      <c r="E46" s="1"/>
      <c r="F46" s="1"/>
    </row>
    <row r="47" spans="1:6" x14ac:dyDescent="0.3">
      <c r="A47" s="2" t="s">
        <v>0</v>
      </c>
      <c r="B47" s="2" t="s">
        <v>13</v>
      </c>
      <c r="C47" s="2" t="s">
        <v>2</v>
      </c>
      <c r="D47" s="2" t="s">
        <v>3</v>
      </c>
      <c r="E47" s="2" t="s">
        <v>14</v>
      </c>
      <c r="F47" s="2" t="s">
        <v>26</v>
      </c>
    </row>
    <row r="48" spans="1:6" x14ac:dyDescent="0.3">
      <c r="A48" s="3" t="s">
        <v>4</v>
      </c>
      <c r="B48" s="1" t="s">
        <v>61</v>
      </c>
      <c r="C48" s="1">
        <v>3580</v>
      </c>
      <c r="D48" s="1">
        <v>200</v>
      </c>
      <c r="E48" s="4">
        <f t="shared" ref="E48:E50" si="5">C48/D48*100</f>
        <v>1789.9999999999998</v>
      </c>
      <c r="F48" s="4" t="s">
        <v>40</v>
      </c>
    </row>
    <row r="49" spans="1:6" x14ac:dyDescent="0.3">
      <c r="A49" s="3" t="s">
        <v>30</v>
      </c>
      <c r="B49" s="1" t="s">
        <v>62</v>
      </c>
      <c r="C49" s="1">
        <v>3910</v>
      </c>
      <c r="D49" s="1">
        <v>200</v>
      </c>
      <c r="E49" s="4">
        <f t="shared" si="5"/>
        <v>1955</v>
      </c>
      <c r="F49" s="4" t="s">
        <v>41</v>
      </c>
    </row>
    <row r="50" spans="1:6" x14ac:dyDescent="0.3">
      <c r="A50" s="6" t="s">
        <v>42</v>
      </c>
      <c r="B50" s="7" t="s">
        <v>63</v>
      </c>
      <c r="C50" s="7">
        <v>5180</v>
      </c>
      <c r="D50" s="7">
        <v>200</v>
      </c>
      <c r="E50" s="4">
        <f t="shared" si="5"/>
        <v>2590</v>
      </c>
      <c r="F50" s="8" t="s">
        <v>43</v>
      </c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 t="s">
        <v>58</v>
      </c>
      <c r="B52" s="1"/>
      <c r="C52" s="5"/>
      <c r="D52" s="1"/>
      <c r="E52" s="5"/>
      <c r="F52" s="1"/>
    </row>
    <row r="53" spans="1:6" x14ac:dyDescent="0.3">
      <c r="A53" s="2" t="s">
        <v>0</v>
      </c>
      <c r="B53" s="2" t="s">
        <v>13</v>
      </c>
      <c r="C53" s="2" t="s">
        <v>2</v>
      </c>
      <c r="D53" s="2" t="s">
        <v>3</v>
      </c>
      <c r="E53" s="2" t="s">
        <v>14</v>
      </c>
      <c r="F53" s="2" t="s">
        <v>26</v>
      </c>
    </row>
    <row r="54" spans="1:6" x14ac:dyDescent="0.3">
      <c r="A54" s="3" t="s">
        <v>4</v>
      </c>
      <c r="B54" s="1" t="s">
        <v>61</v>
      </c>
      <c r="C54" s="1">
        <v>4230</v>
      </c>
      <c r="D54" s="1">
        <v>340</v>
      </c>
      <c r="E54" s="4">
        <f t="shared" ref="E54:E56" si="6">C54/D54*100</f>
        <v>1244.1176470588236</v>
      </c>
      <c r="F54" s="4" t="s">
        <v>40</v>
      </c>
    </row>
    <row r="55" spans="1:6" x14ac:dyDescent="0.3">
      <c r="A55" s="3" t="s">
        <v>30</v>
      </c>
      <c r="B55" s="1" t="s">
        <v>62</v>
      </c>
      <c r="C55" s="1">
        <v>5480</v>
      </c>
      <c r="D55" s="1">
        <v>340</v>
      </c>
      <c r="E55" s="4">
        <f t="shared" si="6"/>
        <v>1611.7647058823529</v>
      </c>
      <c r="F55" s="4" t="s">
        <v>41</v>
      </c>
    </row>
    <row r="56" spans="1:6" x14ac:dyDescent="0.3">
      <c r="A56" s="6" t="s">
        <v>42</v>
      </c>
      <c r="B56" s="7" t="s">
        <v>64</v>
      </c>
      <c r="C56" s="7">
        <v>4000</v>
      </c>
      <c r="D56" s="7">
        <v>340</v>
      </c>
      <c r="E56" s="4">
        <f t="shared" si="6"/>
        <v>1176.4705882352941</v>
      </c>
      <c r="F56" s="8" t="s">
        <v>43</v>
      </c>
    </row>
    <row r="58" spans="1:6" x14ac:dyDescent="0.3">
      <c r="A58" s="1" t="s">
        <v>59</v>
      </c>
      <c r="B58" s="1"/>
      <c r="C58" s="1"/>
      <c r="D58" s="1"/>
      <c r="E58" s="1"/>
      <c r="F58" s="1"/>
    </row>
    <row r="59" spans="1:6" x14ac:dyDescent="0.3">
      <c r="A59" s="2" t="s">
        <v>0</v>
      </c>
      <c r="B59" s="2" t="s">
        <v>13</v>
      </c>
      <c r="C59" s="2" t="s">
        <v>2</v>
      </c>
      <c r="D59" s="2" t="s">
        <v>45</v>
      </c>
      <c r="E59" s="2" t="s">
        <v>46</v>
      </c>
      <c r="F59" s="2" t="s">
        <v>44</v>
      </c>
    </row>
    <row r="60" spans="1:6" x14ac:dyDescent="0.3">
      <c r="A60" s="3" t="s">
        <v>4</v>
      </c>
      <c r="B60" s="1" t="s">
        <v>48</v>
      </c>
      <c r="C60" s="1">
        <v>2680</v>
      </c>
      <c r="D60" s="1">
        <v>250</v>
      </c>
      <c r="E60" s="4">
        <f t="shared" ref="E60:E63" si="7">C60/D60*100</f>
        <v>1072</v>
      </c>
      <c r="F60" s="4" t="s">
        <v>47</v>
      </c>
    </row>
    <row r="61" spans="1:6" x14ac:dyDescent="0.3">
      <c r="A61" s="3" t="s">
        <v>49</v>
      </c>
      <c r="B61" s="1" t="s">
        <v>51</v>
      </c>
      <c r="C61" s="1">
        <v>2380</v>
      </c>
      <c r="D61" s="1">
        <v>275</v>
      </c>
      <c r="E61" s="4">
        <f t="shared" si="7"/>
        <v>865.45454545454538</v>
      </c>
      <c r="F61" s="4" t="s">
        <v>50</v>
      </c>
    </row>
    <row r="62" spans="1:6" x14ac:dyDescent="0.3">
      <c r="A62" s="3" t="s">
        <v>52</v>
      </c>
      <c r="B62" s="1" t="s">
        <v>53</v>
      </c>
      <c r="C62" s="1">
        <v>2680</v>
      </c>
      <c r="D62" s="1">
        <v>275</v>
      </c>
      <c r="E62" s="4">
        <f t="shared" si="7"/>
        <v>974.54545454545462</v>
      </c>
      <c r="F62" s="4" t="s">
        <v>50</v>
      </c>
    </row>
    <row r="63" spans="1:6" x14ac:dyDescent="0.3">
      <c r="A63" s="6" t="s">
        <v>18</v>
      </c>
      <c r="B63" s="7" t="s">
        <v>54</v>
      </c>
      <c r="C63" s="7">
        <v>2550</v>
      </c>
      <c r="D63" s="7">
        <v>250</v>
      </c>
      <c r="E63" s="4">
        <f t="shared" si="7"/>
        <v>1019.9999999999999</v>
      </c>
      <c r="F63" s="8" t="s">
        <v>50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2025-08-26T02:44:10Z</dcterms:created>
  <dcterms:modified xsi:type="dcterms:W3CDTF">2025-08-26T07:10:41Z</dcterms:modified>
</cp:coreProperties>
</file>