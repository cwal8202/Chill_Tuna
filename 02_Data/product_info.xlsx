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ai_x\source\job\ChillTuna\data\"/>
    </mc:Choice>
  </mc:AlternateContent>
  <xr:revisionPtr revIDLastSave="0" documentId="13_ncr:1_{CFE6FB78-A213-432F-A489-67C501291BB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product_info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5" i="3"/>
  <c r="E6" i="3"/>
  <c r="E7" i="3"/>
  <c r="E2" i="3"/>
  <c r="L8" i="2"/>
  <c r="M8" i="2"/>
  <c r="M3" i="2"/>
  <c r="M4" i="2"/>
  <c r="M5" i="2"/>
  <c r="M6" i="2"/>
  <c r="M7" i="2"/>
  <c r="M2" i="2"/>
  <c r="K8" i="2"/>
</calcChain>
</file>

<file path=xl/sharedStrings.xml><?xml version="1.0" encoding="utf-8"?>
<sst xmlns="http://schemas.openxmlformats.org/spreadsheetml/2006/main" count="191" uniqueCount="88">
  <si>
    <t>product_name</t>
  </si>
  <si>
    <t>category_level_1</t>
  </si>
  <si>
    <t>category_level_2</t>
  </si>
  <si>
    <t>category_level_3</t>
  </si>
  <si>
    <t>이중 유청분리 공범, 꾸덕한 질감, 고소함, 호상(떠먹는) 발효유, 고단백, 아연, 칼슘, 6-7월 TV/Youtube/SNS 광고 진행, 6-8월 수도권 중심 아파트 엘리베이터 광고, 광고모델: 일반인</t>
  </si>
  <si>
    <t>우유류</t>
  </si>
  <si>
    <t>발효유</t>
  </si>
  <si>
    <t>호상-중대용량</t>
  </si>
  <si>
    <t>동원맛참 고소참기름 135g</t>
  </si>
  <si>
    <t>광고모델: 안유진, 참기름, 단백질, 셀레늄, 고소</t>
  </si>
  <si>
    <t>참치</t>
  </si>
  <si>
    <t>참치캔</t>
  </si>
  <si>
    <t>라이트스탠다드참치</t>
  </si>
  <si>
    <t>동원맛참 고소참기름 90g</t>
  </si>
  <si>
    <t>동원맛참 매콤참기름 135g</t>
  </si>
  <si>
    <t>광고모델: 안유진, 참기름, 단백질, 셀레늄, 매콤</t>
  </si>
  <si>
    <t>동원맛참 매콤참기름 90g</t>
  </si>
  <si>
    <t>동원참치액 순 500g</t>
  </si>
  <si>
    <t>훈연참치추출물 80%, 참기엑기스, 참치명가, 직접 잡은 참치, 가쓰오엑기스, 표고버섯, 무, 감초, 마늘</t>
  </si>
  <si>
    <t>조미소스</t>
  </si>
  <si>
    <t>조미료</t>
  </si>
  <si>
    <t>액상조미료</t>
  </si>
  <si>
    <t>동원참치액 순 900g</t>
  </si>
  <si>
    <t>동원참치액 진 500g</t>
  </si>
  <si>
    <t>동원참치액 진 900g</t>
  </si>
  <si>
    <t>리챔 오믈레햄 200g</t>
  </si>
  <si>
    <t>오믈렛(Omelet)과 햄(Ham)의 합성어, 저나트륨, 내열성 케첩 소스</t>
  </si>
  <si>
    <t>축산캔</t>
  </si>
  <si>
    <t>고급축산캔</t>
  </si>
  <si>
    <t>가미축산캔</t>
  </si>
  <si>
    <t>리챔 오믈레햄 340g</t>
  </si>
  <si>
    <t>소화가 잘되는 우유로 만든 바닐라라떼 250mL</t>
  </si>
  <si>
    <t>락토프리, 저온효소 처리 기술, 유당 ZERO, 저당 트렌드, 신선한 1등급 원유, SNS 바이럴 2-6월, 광고 X</t>
  </si>
  <si>
    <t>커피</t>
  </si>
  <si>
    <t>커피-CUP</t>
  </si>
  <si>
    <t>소화가 잘되는 우유로 만든 카페라떼 250mL</t>
  </si>
  <si>
    <t>프리미엄 동원참치액 500g</t>
  </si>
  <si>
    <t>훈연참치추출물 85%, 참기엑기스, 참치명가, 직접 잡은 참치, 가쓰오엑기스, 표고버섯, 무, 감초, 마늘</t>
  </si>
  <si>
    <t>프리미엄 동원참치액 900g</t>
  </si>
  <si>
    <t>price</t>
    <phoneticPr fontId="1" type="noConversion"/>
  </si>
  <si>
    <t>2024년 5-12월 연예인 광고</t>
    <phoneticPr fontId="1" type="noConversion"/>
  </si>
  <si>
    <t>2024년 9-12월 SNS 바이럴</t>
    <phoneticPr fontId="1" type="noConversion"/>
  </si>
  <si>
    <t>2025년 2-7월 SNS 바이럴</t>
    <phoneticPr fontId="1" type="noConversion"/>
  </si>
  <si>
    <t>광고 X</t>
    <phoneticPr fontId="1" type="noConversion"/>
  </si>
  <si>
    <t>2025년 6-7월 일반인 광고, SNS 바이럴</t>
    <phoneticPr fontId="1" type="noConversion"/>
  </si>
  <si>
    <t>쿠팡</t>
  </si>
  <si>
    <t>SSG</t>
  </si>
  <si>
    <t>이마트몰</t>
  </si>
  <si>
    <t>동원맛참 고소참기름</t>
  </si>
  <si>
    <t>동원맛참 매콤참기름</t>
  </si>
  <si>
    <t>동원참치액 순</t>
  </si>
  <si>
    <t>동원참치액 진</t>
  </si>
  <si>
    <t>프리미엄 동원참치액</t>
  </si>
  <si>
    <t>cooking</t>
    <phoneticPr fontId="1" type="noConversion"/>
  </si>
  <si>
    <t>20대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</si>
  <si>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</si>
  <si>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</si>
  <si>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</si>
  <si>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</t>
    <phoneticPr fontId="1" type="noConversion"/>
  </si>
  <si>
    <t>70대 이상</t>
    <phoneticPr fontId="1" type="noConversion"/>
  </si>
  <si>
    <t>male</t>
    <phoneticPr fontId="1" type="noConversion"/>
  </si>
  <si>
    <t>female</t>
    <phoneticPr fontId="1" type="noConversion"/>
  </si>
  <si>
    <t>유당불내증</t>
    <phoneticPr fontId="1" type="noConversion"/>
  </si>
  <si>
    <t>인구수</t>
    <phoneticPr fontId="1" type="noConversion"/>
  </si>
  <si>
    <t>맛 선호도</t>
    <phoneticPr fontId="1" type="noConversion"/>
  </si>
  <si>
    <t>감칠맛</t>
    <phoneticPr fontId="1" type="noConversion"/>
  </si>
  <si>
    <t>매콤한맛</t>
    <phoneticPr fontId="1" type="noConversion"/>
  </si>
  <si>
    <t>건강식품, 고단백, 고소한맛, 높은 만족도</t>
    <phoneticPr fontId="1" type="noConversion"/>
  </si>
  <si>
    <t>1인 가구</t>
    <phoneticPr fontId="1" type="noConversion"/>
  </si>
  <si>
    <t>간편함, 고단백, 고소한맛, 가성비, 높은 만족도</t>
    <phoneticPr fontId="1" type="noConversion"/>
  </si>
  <si>
    <t>간편함, 고단백, 매콤한맛, 가성비, 높은 만족도</t>
    <phoneticPr fontId="1" type="noConversion"/>
  </si>
  <si>
    <t>시원하고 깔끔한 감칠맛, 높은 만족도</t>
    <phoneticPr fontId="1" type="noConversion"/>
  </si>
  <si>
    <t>진한 감칠맛, 높은 만족도</t>
    <phoneticPr fontId="1" type="noConversion"/>
  </si>
  <si>
    <t>건강식품, 간편함, 고소한맛</t>
    <phoneticPr fontId="1" type="noConversion"/>
  </si>
  <si>
    <t>고소한맛</t>
    <phoneticPr fontId="1" type="noConversion"/>
  </si>
  <si>
    <t>간편함, 낮은 칼로리, 고소한맛</t>
    <phoneticPr fontId="1" type="noConversion"/>
  </si>
  <si>
    <t>건강식품, 간편함, 단맛, 고소한맛</t>
    <phoneticPr fontId="1" type="noConversion"/>
  </si>
  <si>
    <t>product_feature2</t>
    <phoneticPr fontId="1" type="noConversion"/>
  </si>
  <si>
    <t>product_feature1</t>
    <phoneticPr fontId="1" type="noConversion"/>
  </si>
  <si>
    <t>targeted_consumer</t>
    <phoneticPr fontId="1" type="noConversion"/>
  </si>
  <si>
    <t>advertise</t>
    <phoneticPr fontId="1" type="noConversion"/>
  </si>
  <si>
    <t>덴마크 하이그릭요거트 400g</t>
    <phoneticPr fontId="1" type="noConversion"/>
  </si>
  <si>
    <t>프리미엄, 감칠맛, 높은 만족도</t>
    <phoneticPr fontId="1" type="noConversion"/>
  </si>
  <si>
    <t>1세대가족, 2세대가족</t>
    <phoneticPr fontId="1" type="noConversion"/>
  </si>
  <si>
    <t>요리하는 2세대가족</t>
    <phoneticPr fontId="1" type="noConversion"/>
  </si>
  <si>
    <t>요리하는 1인 가구, 1세대가족</t>
    <phoneticPr fontId="1" type="noConversion"/>
  </si>
  <si>
    <t>1인 가구, 2030 2세대가족</t>
    <phoneticPr fontId="1" type="noConversion"/>
  </si>
  <si>
    <t>2030 2세대가족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</si>
</sst>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444447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C1" workbookViewId="0">
      <selection activeCell="E11" sqref="E11"/>
    </sheetView>
  </sheetViews>
  <sheetFormatPr defaultRowHeight="17.399999999999999" x14ac:dyDescent="0.4"/>
  <cols>
    <col min="1" max="1" width="38.296875" customWidth="1"/>
    <col min="2" max="2" width="83.59765625" customWidth="1"/>
    <col min="3" max="3" width="38.69921875" customWidth="1"/>
    <col min="4" max="4" width="28" customWidth="1"/>
    <col min="5" max="5" width="33.09765625" customWidth="1"/>
    <col min="6" max="6" width="10.69921875" customWidth="1"/>
    <col min="7" max="7" width="19" customWidth="1"/>
    <col min="8" max="8" width="17.5" customWidth="1"/>
    <col min="9" max="9" width="22.09765625" customWidth="1"/>
  </cols>
  <sheetData>
    <row r="1" spans="1:10" x14ac:dyDescent="0.4">
      <c r="A1" s="1" t="s">
        <v>0</v>
      </c>
      <c r="B1" s="1" t="s">
        <v>78</v>
      </c>
      <c r="C1" s="1" t="s">
        <v>77</v>
      </c>
      <c r="D1" s="1" t="s">
        <v>79</v>
      </c>
      <c r="E1" s="4" t="s">
        <v>80</v>
      </c>
      <c r="F1" s="2" t="s">
        <v>39</v>
      </c>
      <c r="G1" s="1" t="s">
        <v>1</v>
      </c>
      <c r="H1" s="1" t="s">
        <v>2</v>
      </c>
      <c r="I1" s="1" t="s">
        <v>3</v>
      </c>
      <c r="J1" s="1"/>
    </row>
    <row r="2" spans="1:10" x14ac:dyDescent="0.4">
      <c r="A2" s="1" t="s">
        <v>81</v>
      </c>
      <c r="B2" s="1" t="s">
        <v>4</v>
      </c>
      <c r="C2" s="1" t="s">
        <v>67</v>
      </c>
      <c r="D2" s="1" t="s">
        <v>62</v>
      </c>
      <c r="E2" s="2" t="s">
        <v>44</v>
      </c>
      <c r="F2" s="2">
        <v>3980</v>
      </c>
      <c r="G2" s="1" t="s">
        <v>5</v>
      </c>
      <c r="H2" s="1" t="s">
        <v>6</v>
      </c>
      <c r="I2" s="1" t="s">
        <v>7</v>
      </c>
      <c r="J2" s="1"/>
    </row>
    <row r="3" spans="1:10" x14ac:dyDescent="0.4">
      <c r="A3" s="1" t="s">
        <v>8</v>
      </c>
      <c r="B3" s="1" t="s">
        <v>9</v>
      </c>
      <c r="C3" s="1" t="s">
        <v>69</v>
      </c>
      <c r="D3" s="1" t="s">
        <v>83</v>
      </c>
      <c r="E3" s="2" t="s">
        <v>40</v>
      </c>
      <c r="F3" s="2">
        <v>2500</v>
      </c>
      <c r="G3" s="1" t="s">
        <v>10</v>
      </c>
      <c r="H3" s="1" t="s">
        <v>11</v>
      </c>
      <c r="I3" s="1" t="s">
        <v>12</v>
      </c>
      <c r="J3" s="1"/>
    </row>
    <row r="4" spans="1:10" x14ac:dyDescent="0.4">
      <c r="A4" s="1" t="s">
        <v>13</v>
      </c>
      <c r="B4" s="1" t="s">
        <v>9</v>
      </c>
      <c r="C4" s="1" t="s">
        <v>69</v>
      </c>
      <c r="D4" s="1" t="s">
        <v>68</v>
      </c>
      <c r="E4" s="2" t="s">
        <v>40</v>
      </c>
      <c r="F4" s="2">
        <v>2000</v>
      </c>
      <c r="G4" s="1" t="s">
        <v>10</v>
      </c>
      <c r="H4" s="1" t="s">
        <v>11</v>
      </c>
      <c r="I4" s="1" t="s">
        <v>12</v>
      </c>
      <c r="J4" s="1"/>
    </row>
    <row r="5" spans="1:10" x14ac:dyDescent="0.4">
      <c r="A5" s="1" t="s">
        <v>14</v>
      </c>
      <c r="B5" s="1" t="s">
        <v>15</v>
      </c>
      <c r="C5" s="1" t="s">
        <v>70</v>
      </c>
      <c r="D5" s="1" t="s">
        <v>83</v>
      </c>
      <c r="E5" s="2" t="s">
        <v>40</v>
      </c>
      <c r="F5" s="2">
        <v>2500</v>
      </c>
      <c r="G5" s="1" t="s">
        <v>10</v>
      </c>
      <c r="H5" s="1" t="s">
        <v>11</v>
      </c>
      <c r="I5" s="1" t="s">
        <v>12</v>
      </c>
      <c r="J5" s="1"/>
    </row>
    <row r="6" spans="1:10" x14ac:dyDescent="0.4">
      <c r="A6" s="1" t="s">
        <v>16</v>
      </c>
      <c r="B6" s="1" t="s">
        <v>15</v>
      </c>
      <c r="C6" s="1" t="s">
        <v>70</v>
      </c>
      <c r="D6" s="1" t="s">
        <v>68</v>
      </c>
      <c r="E6" s="2" t="s">
        <v>40</v>
      </c>
      <c r="F6" s="2">
        <v>2000</v>
      </c>
      <c r="G6" s="1" t="s">
        <v>10</v>
      </c>
      <c r="H6" s="1" t="s">
        <v>11</v>
      </c>
      <c r="I6" s="1" t="s">
        <v>12</v>
      </c>
      <c r="J6" s="1"/>
    </row>
    <row r="7" spans="1:10" x14ac:dyDescent="0.4">
      <c r="A7" s="1" t="s">
        <v>17</v>
      </c>
      <c r="B7" s="1" t="s">
        <v>18</v>
      </c>
      <c r="C7" s="1" t="s">
        <v>71</v>
      </c>
      <c r="D7" s="1" t="s">
        <v>85</v>
      </c>
      <c r="E7" s="2" t="s">
        <v>41</v>
      </c>
      <c r="F7" s="2">
        <v>5980</v>
      </c>
      <c r="G7" s="1" t="s">
        <v>19</v>
      </c>
      <c r="H7" s="1" t="s">
        <v>20</v>
      </c>
      <c r="I7" s="1" t="s">
        <v>21</v>
      </c>
      <c r="J7" s="1"/>
    </row>
    <row r="8" spans="1:10" x14ac:dyDescent="0.4">
      <c r="A8" s="1" t="s">
        <v>22</v>
      </c>
      <c r="B8" s="1" t="s">
        <v>18</v>
      </c>
      <c r="C8" s="1" t="s">
        <v>71</v>
      </c>
      <c r="D8" s="1" t="s">
        <v>84</v>
      </c>
      <c r="E8" s="2" t="s">
        <v>41</v>
      </c>
      <c r="F8" s="2">
        <v>9980</v>
      </c>
      <c r="G8" s="1" t="s">
        <v>19</v>
      </c>
      <c r="H8" s="1" t="s">
        <v>20</v>
      </c>
      <c r="I8" s="1" t="s">
        <v>21</v>
      </c>
      <c r="J8" s="1"/>
    </row>
    <row r="9" spans="1:10" x14ac:dyDescent="0.4">
      <c r="A9" s="1" t="s">
        <v>23</v>
      </c>
      <c r="B9" s="1" t="s">
        <v>18</v>
      </c>
      <c r="C9" s="1" t="s">
        <v>72</v>
      </c>
      <c r="D9" s="1" t="s">
        <v>85</v>
      </c>
      <c r="E9" s="2" t="s">
        <v>41</v>
      </c>
      <c r="F9" s="2">
        <v>5980</v>
      </c>
      <c r="G9" s="1" t="s">
        <v>19</v>
      </c>
      <c r="H9" s="1" t="s">
        <v>20</v>
      </c>
      <c r="I9" s="1" t="s">
        <v>21</v>
      </c>
      <c r="J9" s="1"/>
    </row>
    <row r="10" spans="1:10" x14ac:dyDescent="0.4">
      <c r="A10" s="1" t="s">
        <v>24</v>
      </c>
      <c r="B10" s="1" t="s">
        <v>18</v>
      </c>
      <c r="C10" s="1" t="s">
        <v>72</v>
      </c>
      <c r="D10" s="1" t="s">
        <v>84</v>
      </c>
      <c r="E10" s="2" t="s">
        <v>41</v>
      </c>
      <c r="F10" s="2">
        <v>9980</v>
      </c>
      <c r="G10" s="1" t="s">
        <v>19</v>
      </c>
      <c r="H10" s="1" t="s">
        <v>20</v>
      </c>
      <c r="I10" s="1" t="s">
        <v>21</v>
      </c>
      <c r="J10" s="1"/>
    </row>
    <row r="11" spans="1:10" x14ac:dyDescent="0.4">
      <c r="A11" s="1" t="s">
        <v>25</v>
      </c>
      <c r="B11" s="1" t="s">
        <v>26</v>
      </c>
      <c r="C11" s="1" t="s">
        <v>75</v>
      </c>
      <c r="D11" s="1" t="s">
        <v>86</v>
      </c>
      <c r="E11" s="2" t="s">
        <v>43</v>
      </c>
      <c r="F11" s="2">
        <v>5080</v>
      </c>
      <c r="G11" s="1" t="s">
        <v>27</v>
      </c>
      <c r="H11" s="1" t="s">
        <v>28</v>
      </c>
      <c r="I11" s="1" t="s">
        <v>29</v>
      </c>
      <c r="J11" s="1"/>
    </row>
    <row r="12" spans="1:10" x14ac:dyDescent="0.4">
      <c r="A12" s="1" t="s">
        <v>30</v>
      </c>
      <c r="B12" s="1" t="s">
        <v>26</v>
      </c>
      <c r="C12" s="1" t="s">
        <v>75</v>
      </c>
      <c r="D12" s="1" t="s">
        <v>87</v>
      </c>
      <c r="E12" s="2" t="s">
        <v>43</v>
      </c>
      <c r="F12" s="2">
        <v>7480</v>
      </c>
      <c r="G12" s="1" t="s">
        <v>27</v>
      </c>
      <c r="H12" s="1" t="s">
        <v>28</v>
      </c>
      <c r="I12" s="1" t="s">
        <v>29</v>
      </c>
      <c r="J12" s="1"/>
    </row>
    <row r="13" spans="1:10" x14ac:dyDescent="0.4">
      <c r="A13" s="1" t="s">
        <v>31</v>
      </c>
      <c r="B13" s="1" t="s">
        <v>32</v>
      </c>
      <c r="C13" s="1" t="s">
        <v>76</v>
      </c>
      <c r="D13" s="1" t="s">
        <v>62</v>
      </c>
      <c r="E13" s="2" t="s">
        <v>42</v>
      </c>
      <c r="F13" s="2">
        <v>1400</v>
      </c>
      <c r="G13" s="1" t="s">
        <v>5</v>
      </c>
      <c r="H13" s="1" t="s">
        <v>33</v>
      </c>
      <c r="I13" s="1" t="s">
        <v>34</v>
      </c>
      <c r="J13" s="1"/>
    </row>
    <row r="14" spans="1:10" x14ac:dyDescent="0.4">
      <c r="A14" s="1" t="s">
        <v>35</v>
      </c>
      <c r="B14" s="1" t="s">
        <v>32</v>
      </c>
      <c r="C14" s="1" t="s">
        <v>73</v>
      </c>
      <c r="D14" s="1" t="s">
        <v>62</v>
      </c>
      <c r="E14" s="2" t="s">
        <v>42</v>
      </c>
      <c r="F14" s="2">
        <v>1400</v>
      </c>
      <c r="G14" s="1" t="s">
        <v>5</v>
      </c>
      <c r="H14" s="1" t="s">
        <v>33</v>
      </c>
      <c r="I14" s="1" t="s">
        <v>34</v>
      </c>
      <c r="J14" s="1"/>
    </row>
    <row r="15" spans="1:10" x14ac:dyDescent="0.4">
      <c r="A15" s="1" t="s">
        <v>36</v>
      </c>
      <c r="B15" s="1" t="s">
        <v>37</v>
      </c>
      <c r="C15" s="1" t="s">
        <v>82</v>
      </c>
      <c r="D15" s="1" t="s">
        <v>85</v>
      </c>
      <c r="E15" s="2" t="s">
        <v>41</v>
      </c>
      <c r="F15" s="2">
        <v>11480</v>
      </c>
      <c r="G15" s="1" t="s">
        <v>19</v>
      </c>
      <c r="H15" s="1" t="s">
        <v>20</v>
      </c>
      <c r="I15" s="1" t="s">
        <v>21</v>
      </c>
      <c r="J15" s="1"/>
    </row>
    <row r="16" spans="1:10" x14ac:dyDescent="0.4">
      <c r="A16" s="1" t="s">
        <v>38</v>
      </c>
      <c r="B16" s="1" t="s">
        <v>37</v>
      </c>
      <c r="C16" s="1" t="s">
        <v>82</v>
      </c>
      <c r="D16" s="1" t="s">
        <v>84</v>
      </c>
      <c r="E16" s="2" t="s">
        <v>41</v>
      </c>
      <c r="F16" s="2">
        <v>17980</v>
      </c>
      <c r="G16" s="1" t="s">
        <v>19</v>
      </c>
      <c r="H16" s="1" t="s">
        <v>20</v>
      </c>
      <c r="I16" s="1" t="s">
        <v>21</v>
      </c>
      <c r="J1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4B64-6547-4098-A765-D7AAEFC4714E}">
  <dimension ref="A1:S21"/>
  <sheetViews>
    <sheetView workbookViewId="0">
      <selection activeCell="O11" sqref="O11"/>
    </sheetView>
  </sheetViews>
  <sheetFormatPr defaultRowHeight="17.399999999999999" x14ac:dyDescent="0.4"/>
  <sheetData>
    <row r="1" spans="1:19" x14ac:dyDescent="0.4">
      <c r="A1" t="s">
        <v>53</v>
      </c>
      <c r="B1" t="s">
        <v>60</v>
      </c>
      <c r="C1" t="s">
        <v>61</v>
      </c>
      <c r="F1" t="s">
        <v>62</v>
      </c>
      <c r="G1" t="s">
        <v>60</v>
      </c>
      <c r="H1" t="s">
        <v>61</v>
      </c>
      <c r="J1" t="s">
        <v>63</v>
      </c>
      <c r="K1" t="s">
        <v>60</v>
      </c>
      <c r="L1" t="s">
        <v>61</v>
      </c>
      <c r="P1" t="s">
        <v>64</v>
      </c>
      <c r="R1" t="s">
        <v>60</v>
      </c>
      <c r="S1" t="s">
        <v>61</v>
      </c>
    </row>
    <row r="2" spans="1:19" x14ac:dyDescent="0.4">
      <c r="A2" t="s">
        <v>54</v>
      </c>
      <c r="B2" s="3">
        <v>0.375</v>
      </c>
      <c r="C2" s="3">
        <v>0.47499999999999998</v>
      </c>
      <c r="D2" s="3"/>
      <c r="E2" s="3"/>
      <c r="F2" s="3" t="s">
        <v>54</v>
      </c>
      <c r="G2" s="3">
        <v>0.57999999999999996</v>
      </c>
      <c r="H2" s="3">
        <v>0.62</v>
      </c>
      <c r="I2" s="3"/>
      <c r="J2" s="3" t="s">
        <v>54</v>
      </c>
      <c r="K2" s="3">
        <v>7.3899999999999993E-2</v>
      </c>
      <c r="L2" s="3">
        <v>6.6299999999999998E-2</v>
      </c>
      <c r="M2" s="3">
        <f>SUM(K2:L2)</f>
        <v>0.14019999999999999</v>
      </c>
      <c r="N2" s="3"/>
      <c r="P2" s="3" t="s">
        <v>54</v>
      </c>
      <c r="Q2" s="3" t="s">
        <v>74</v>
      </c>
      <c r="R2" s="3">
        <v>0.2</v>
      </c>
      <c r="S2" s="3">
        <v>0.3</v>
      </c>
    </row>
    <row r="3" spans="1:19" x14ac:dyDescent="0.4">
      <c r="A3" t="s">
        <v>55</v>
      </c>
      <c r="B3" s="3">
        <v>0.46500000000000002</v>
      </c>
      <c r="C3" s="3">
        <v>0.55000000000000004</v>
      </c>
      <c r="D3" s="3"/>
      <c r="E3" s="3"/>
      <c r="F3" s="3" t="s">
        <v>55</v>
      </c>
      <c r="G3" s="3">
        <v>0.68</v>
      </c>
      <c r="H3" s="3">
        <v>0.72</v>
      </c>
      <c r="I3" s="3"/>
      <c r="J3" s="3" t="s">
        <v>55</v>
      </c>
      <c r="K3" s="3">
        <v>8.0399999999999999E-2</v>
      </c>
      <c r="L3" s="3">
        <v>7.8299999999999995E-2</v>
      </c>
      <c r="M3" s="3">
        <f t="shared" ref="M3:M7" si="0">SUM(K3:L3)</f>
        <v>0.15870000000000001</v>
      </c>
      <c r="N3" s="3"/>
      <c r="P3" s="3"/>
      <c r="Q3" s="3" t="s">
        <v>65</v>
      </c>
      <c r="R3" s="3">
        <v>0.35</v>
      </c>
      <c r="S3" s="3">
        <v>0.35</v>
      </c>
    </row>
    <row r="4" spans="1:19" x14ac:dyDescent="0.4">
      <c r="A4" t="s">
        <v>56</v>
      </c>
      <c r="B4" s="3">
        <v>0.51500000000000001</v>
      </c>
      <c r="C4" s="3">
        <v>0.61499999999999999</v>
      </c>
      <c r="D4" s="3"/>
      <c r="E4" s="3"/>
      <c r="F4" s="3" t="s">
        <v>56</v>
      </c>
      <c r="G4" s="3">
        <v>0.73</v>
      </c>
      <c r="H4" s="3">
        <v>0.77</v>
      </c>
      <c r="I4" s="3"/>
      <c r="J4" s="3" t="s">
        <v>56</v>
      </c>
      <c r="K4" s="3">
        <v>9.1300000000000006E-2</v>
      </c>
      <c r="L4" s="3">
        <v>8.6999999999999994E-2</v>
      </c>
      <c r="M4" s="3">
        <f t="shared" si="0"/>
        <v>0.17830000000000001</v>
      </c>
      <c r="N4" s="3"/>
      <c r="P4" s="3"/>
      <c r="Q4" s="3" t="s">
        <v>66</v>
      </c>
      <c r="R4" s="3">
        <v>0.45</v>
      </c>
      <c r="S4" s="3">
        <v>0.35</v>
      </c>
    </row>
    <row r="5" spans="1:19" x14ac:dyDescent="0.4">
      <c r="A5" t="s">
        <v>57</v>
      </c>
      <c r="B5" s="3">
        <v>0.625</v>
      </c>
      <c r="C5" s="3">
        <v>0.72499999999999998</v>
      </c>
      <c r="D5" s="3"/>
      <c r="E5" s="3"/>
      <c r="F5" s="3" t="s">
        <v>57</v>
      </c>
      <c r="G5" s="3">
        <v>0.78</v>
      </c>
      <c r="H5" s="3">
        <v>0.82</v>
      </c>
      <c r="I5" s="3"/>
      <c r="J5" s="3" t="s">
        <v>57</v>
      </c>
      <c r="K5" s="3">
        <v>8.9099999999999999E-2</v>
      </c>
      <c r="L5" s="3">
        <v>9.1300000000000006E-2</v>
      </c>
      <c r="M5" s="3">
        <f t="shared" si="0"/>
        <v>0.1804</v>
      </c>
      <c r="N5" s="3"/>
      <c r="P5" s="3" t="s">
        <v>55</v>
      </c>
      <c r="Q5" s="3" t="s">
        <v>74</v>
      </c>
      <c r="R5" s="3">
        <v>0.25</v>
      </c>
      <c r="S5" s="3">
        <v>0.35</v>
      </c>
    </row>
    <row r="6" spans="1:19" x14ac:dyDescent="0.4">
      <c r="A6" t="s">
        <v>58</v>
      </c>
      <c r="B6" s="3">
        <v>0.72499999999999998</v>
      </c>
      <c r="C6" s="3">
        <v>0.82499999999999996</v>
      </c>
      <c r="D6" s="3"/>
      <c r="E6" s="3"/>
      <c r="F6" s="3" t="s">
        <v>58</v>
      </c>
      <c r="G6" s="3">
        <v>0.83</v>
      </c>
      <c r="H6" s="3">
        <v>0.87</v>
      </c>
      <c r="I6" s="3"/>
      <c r="J6" s="3" t="s">
        <v>58</v>
      </c>
      <c r="K6" s="3">
        <v>5.8700000000000002E-2</v>
      </c>
      <c r="L6" s="3">
        <v>5.9799999999999999E-2</v>
      </c>
      <c r="M6" s="3">
        <f t="shared" si="0"/>
        <v>0.11849999999999999</v>
      </c>
      <c r="N6" s="3"/>
      <c r="P6" s="3"/>
      <c r="Q6" s="3" t="s">
        <v>65</v>
      </c>
      <c r="R6" s="3">
        <v>0.4</v>
      </c>
      <c r="S6" s="3">
        <v>0.4</v>
      </c>
    </row>
    <row r="7" spans="1:19" x14ac:dyDescent="0.4">
      <c r="A7" t="s">
        <v>59</v>
      </c>
      <c r="B7" s="3">
        <v>0.8</v>
      </c>
      <c r="C7" s="3">
        <v>0.9</v>
      </c>
      <c r="D7" s="3"/>
      <c r="E7" s="3"/>
      <c r="F7" s="3" t="s">
        <v>59</v>
      </c>
      <c r="G7" s="3">
        <v>0.88</v>
      </c>
      <c r="H7" s="3">
        <v>0.92</v>
      </c>
      <c r="I7" s="3"/>
      <c r="J7" s="3" t="s">
        <v>59</v>
      </c>
      <c r="K7" s="3">
        <v>9.6699999999999994E-2</v>
      </c>
      <c r="L7" s="3">
        <v>0.12720000000000001</v>
      </c>
      <c r="M7" s="3">
        <f t="shared" si="0"/>
        <v>0.22389999999999999</v>
      </c>
      <c r="N7" s="3"/>
      <c r="P7" s="3"/>
      <c r="Q7" s="3" t="s">
        <v>66</v>
      </c>
      <c r="R7" s="3">
        <v>0.35</v>
      </c>
      <c r="S7" s="3">
        <v>0.25</v>
      </c>
    </row>
    <row r="8" spans="1:19" x14ac:dyDescent="0.4">
      <c r="B8" s="3"/>
      <c r="C8" s="3"/>
      <c r="D8" s="3"/>
      <c r="E8" s="3"/>
      <c r="F8" s="3"/>
      <c r="G8" s="3"/>
      <c r="H8" s="3"/>
      <c r="I8" s="3"/>
      <c r="J8" s="3"/>
      <c r="K8" s="3">
        <f>SUM(K2:K7)</f>
        <v>0.49009999999999998</v>
      </c>
      <c r="L8" s="3">
        <f t="shared" ref="L8:M8" si="1">SUM(L2:L7)</f>
        <v>0.50990000000000002</v>
      </c>
      <c r="M8" s="3">
        <f t="shared" si="1"/>
        <v>1</v>
      </c>
      <c r="N8" s="3"/>
      <c r="P8" s="3" t="s">
        <v>56</v>
      </c>
      <c r="Q8" s="3" t="s">
        <v>74</v>
      </c>
      <c r="R8" s="3">
        <v>0.3</v>
      </c>
      <c r="S8" s="3">
        <v>0.4</v>
      </c>
    </row>
    <row r="9" spans="1:19" x14ac:dyDescent="0.4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P9" s="3"/>
      <c r="Q9" s="3" t="s">
        <v>65</v>
      </c>
      <c r="R9" s="3">
        <v>0.45</v>
      </c>
      <c r="S9" s="3">
        <v>0.45</v>
      </c>
    </row>
    <row r="10" spans="1:19" x14ac:dyDescent="0.4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P10" s="3"/>
      <c r="Q10" s="3" t="s">
        <v>66</v>
      </c>
      <c r="R10" s="3">
        <v>0.25</v>
      </c>
      <c r="S10" s="3">
        <v>0.15</v>
      </c>
    </row>
    <row r="11" spans="1:19" x14ac:dyDescent="0.4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P11" s="3" t="s">
        <v>57</v>
      </c>
      <c r="Q11" s="3" t="s">
        <v>74</v>
      </c>
      <c r="R11" s="3">
        <v>0.35</v>
      </c>
      <c r="S11" s="3">
        <v>0.45</v>
      </c>
    </row>
    <row r="12" spans="1:19" x14ac:dyDescent="0.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P12" s="3"/>
      <c r="Q12" s="3" t="s">
        <v>65</v>
      </c>
      <c r="R12" s="3">
        <v>0.45</v>
      </c>
      <c r="S12" s="3">
        <v>0.45</v>
      </c>
    </row>
    <row r="13" spans="1:19" x14ac:dyDescent="0.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P13" s="3"/>
      <c r="Q13" s="3" t="s">
        <v>66</v>
      </c>
      <c r="R13" s="3">
        <v>0.2</v>
      </c>
      <c r="S13" s="3">
        <v>0.1</v>
      </c>
    </row>
    <row r="14" spans="1:19" x14ac:dyDescent="0.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P14" s="3" t="s">
        <v>58</v>
      </c>
      <c r="Q14" s="3" t="s">
        <v>74</v>
      </c>
      <c r="R14" s="3">
        <v>0.4</v>
      </c>
      <c r="S14" s="3">
        <v>0.5</v>
      </c>
    </row>
    <row r="15" spans="1:19" x14ac:dyDescent="0.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P15" s="3"/>
      <c r="Q15" s="3" t="s">
        <v>65</v>
      </c>
      <c r="R15" s="3">
        <v>0.45</v>
      </c>
      <c r="S15" s="3">
        <v>0.4</v>
      </c>
    </row>
    <row r="16" spans="1:19" x14ac:dyDescent="0.4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P16" s="3"/>
      <c r="Q16" s="3" t="s">
        <v>66</v>
      </c>
      <c r="R16" s="3">
        <v>0.15</v>
      </c>
      <c r="S16" s="3">
        <v>0.1</v>
      </c>
    </row>
    <row r="17" spans="2:19" x14ac:dyDescent="0.4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s="3" t="s">
        <v>59</v>
      </c>
      <c r="Q17" s="3" t="s">
        <v>74</v>
      </c>
      <c r="R17" s="3">
        <v>0.45</v>
      </c>
      <c r="S17" s="3">
        <v>0.55000000000000004</v>
      </c>
    </row>
    <row r="18" spans="2:19" x14ac:dyDescent="0.4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P18" s="3"/>
      <c r="Q18" s="3" t="s">
        <v>65</v>
      </c>
      <c r="R18" s="3">
        <v>0.45</v>
      </c>
      <c r="S18" s="3">
        <v>0.4</v>
      </c>
    </row>
    <row r="19" spans="2:19" x14ac:dyDescent="0.4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P19" s="3"/>
      <c r="Q19" s="3" t="s">
        <v>66</v>
      </c>
      <c r="R19" s="3">
        <v>0.1</v>
      </c>
      <c r="S19" s="3">
        <v>0.05</v>
      </c>
    </row>
    <row r="20" spans="2:19" x14ac:dyDescent="0.4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9" x14ac:dyDescent="0.4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EE5C-B653-4184-94A8-CC1F578AD318}">
  <dimension ref="A1:E7"/>
  <sheetViews>
    <sheetView workbookViewId="0">
      <selection activeCell="H8" sqref="H8"/>
    </sheetView>
  </sheetViews>
  <sheetFormatPr defaultRowHeight="17.399999999999999" x14ac:dyDescent="0.4"/>
  <cols>
    <col min="1" max="1" width="20.59765625" customWidth="1"/>
  </cols>
  <sheetData>
    <row r="1" spans="1:5" x14ac:dyDescent="0.4">
      <c r="A1" s="1"/>
      <c r="B1" s="1" t="s">
        <v>45</v>
      </c>
      <c r="C1" s="1" t="s">
        <v>46</v>
      </c>
      <c r="D1" s="1" t="s">
        <v>47</v>
      </c>
    </row>
    <row r="2" spans="1:5" x14ac:dyDescent="0.4">
      <c r="A2" s="1" t="s">
        <v>48</v>
      </c>
      <c r="B2" s="1">
        <v>2394</v>
      </c>
      <c r="C2" s="1">
        <v>622</v>
      </c>
      <c r="D2" s="1">
        <v>295</v>
      </c>
      <c r="E2">
        <f>SUM(B2:D2)</f>
        <v>3311</v>
      </c>
    </row>
    <row r="3" spans="1:5" x14ac:dyDescent="0.4">
      <c r="A3" s="1" t="s">
        <v>49</v>
      </c>
      <c r="B3" s="1">
        <v>1293</v>
      </c>
      <c r="C3" s="1">
        <v>357</v>
      </c>
      <c r="D3" s="1">
        <v>216</v>
      </c>
      <c r="E3">
        <f t="shared" ref="E3:E7" si="0">SUM(B3:D3)</f>
        <v>1866</v>
      </c>
    </row>
    <row r="4" spans="1:5" x14ac:dyDescent="0.4">
      <c r="A4" s="1"/>
      <c r="B4" s="1"/>
      <c r="C4" s="1"/>
      <c r="D4" s="1"/>
    </row>
    <row r="5" spans="1:5" x14ac:dyDescent="0.4">
      <c r="A5" s="1" t="s">
        <v>50</v>
      </c>
      <c r="B5" s="1">
        <v>519</v>
      </c>
      <c r="C5" s="1">
        <v>561</v>
      </c>
      <c r="D5" s="1">
        <v>167</v>
      </c>
      <c r="E5">
        <f t="shared" si="0"/>
        <v>1247</v>
      </c>
    </row>
    <row r="6" spans="1:5" x14ac:dyDescent="0.4">
      <c r="A6" s="1" t="s">
        <v>51</v>
      </c>
      <c r="B6" s="1">
        <v>3501</v>
      </c>
      <c r="C6" s="1">
        <v>1471</v>
      </c>
      <c r="D6" s="1">
        <v>735</v>
      </c>
      <c r="E6">
        <f t="shared" si="0"/>
        <v>5707</v>
      </c>
    </row>
    <row r="7" spans="1:5" x14ac:dyDescent="0.4">
      <c r="A7" s="1" t="s">
        <v>52</v>
      </c>
      <c r="B7" s="1">
        <v>101</v>
      </c>
      <c r="C7" s="1">
        <v>69</v>
      </c>
      <c r="D7" s="1">
        <v>51</v>
      </c>
      <c r="E7">
        <f t="shared" si="0"/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product_info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2025-08-20T08:14:59Z</dcterms:modified>
</cp:coreProperties>
</file>